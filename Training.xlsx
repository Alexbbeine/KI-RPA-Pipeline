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I76210\Downloads\"/>
    </mc:Choice>
  </mc:AlternateContent>
  <xr:revisionPtr revIDLastSave="0" documentId="13_ncr:1_{26593F47-94B9-424B-88A1-67C78846C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Tabelle" sheetId="2" r:id="rId2"/>
    <sheet name="Übersich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E17" i="3"/>
  <c r="B17" i="3"/>
  <c r="E16" i="3"/>
  <c r="B16" i="3"/>
  <c r="E15" i="3"/>
  <c r="B15" i="3"/>
  <c r="E14" i="3"/>
  <c r="B14" i="3"/>
  <c r="B13" i="3"/>
  <c r="B12" i="3"/>
  <c r="E11" i="3"/>
  <c r="E10" i="3"/>
  <c r="E9" i="3"/>
  <c r="B9" i="3"/>
  <c r="E8" i="3"/>
  <c r="B8" i="3"/>
  <c r="B4" i="3"/>
</calcChain>
</file>

<file path=xl/sharedStrings.xml><?xml version="1.0" encoding="utf-8"?>
<sst xmlns="http://schemas.openxmlformats.org/spreadsheetml/2006/main" count="483" uniqueCount="192">
  <si>
    <t>Zweck</t>
  </si>
  <si>
    <t>Feld</t>
  </si>
  <si>
    <t>Beispielwerte</t>
  </si>
  <si>
    <t>Quelle im Prototyp</t>
  </si>
  <si>
    <t>Kompatibles Blatt</t>
  </si>
  <si>
    <t>Tabelle</t>
  </si>
  <si>
    <t>Typ</t>
  </si>
  <si>
    <t>Problem | ChangeRequest</t>
  </si>
  <si>
    <t>config.py / STREAMLIT_TICKET_TYPE_OPTIONS</t>
  </si>
  <si>
    <t>Textspalten</t>
  </si>
  <si>
    <t>Titel und Beschreibung</t>
  </si>
  <si>
    <t>Bereich</t>
  </si>
  <si>
    <t>SEU\ALH\Analytics usw.</t>
  </si>
  <si>
    <t>config.py / STREAMLIT_AREA_OPTIONS</t>
  </si>
  <si>
    <t>Labelspalten</t>
  </si>
  <si>
    <t>Typ, Bereich, Prio, Schweregrad</t>
  </si>
  <si>
    <t>Prio</t>
  </si>
  <si>
    <t>1 | 2 | 3 | 4</t>
  </si>
  <si>
    <t>config.py / STREAMLIT_PRIORITY_OPTIONS</t>
  </si>
  <si>
    <t>Hinweis</t>
  </si>
  <si>
    <t>Schweregrad</t>
  </si>
  <si>
    <t>1 - Kritisch bis 4 - Niedrig</t>
  </si>
  <si>
    <t>config.py / STREAMLIT_IMPACT_OPTIONS</t>
  </si>
  <si>
    <t>Titel</t>
  </si>
  <si>
    <t>Beschreibung</t>
  </si>
  <si>
    <t>KPI-Dashboard lädt morgens nicht</t>
  </si>
  <si>
    <t>Seit dem heutigen Nachtlauf bleibt das Vertriebsdashboard im Ladezustand stehen. Betroffen sind Controlling und Fachbereich Analytics. Bitte Ursache analysieren und die Bereitstellung der Kennzahlen wiederherstellen.</t>
  </si>
  <si>
    <t>Problem</t>
  </si>
  <si>
    <t>SEU\ALH\Analytics</t>
  </si>
  <si>
    <t>1</t>
  </si>
  <si>
    <t>1 - Kritisch</t>
  </si>
  <si>
    <t>Abweichung in Provisionsauswertung Q2</t>
  </si>
  <si>
    <t>Die Summen in der Provisionsauswertung weichen bei mehreren Vermittlern vom Tagesreport ab. Der Fehler ist seit gestern reproduzierbar. Bitte Datenlogik und Aggregation prüfen.</t>
  </si>
  <si>
    <t>Power-BI Bericht reagiert sehr langsam</t>
  </si>
  <si>
    <t>2</t>
  </si>
  <si>
    <t>2 - Hoch</t>
  </si>
  <si>
    <t>CSV-Export aus Schadenreport bricht ab</t>
  </si>
  <si>
    <t>Der Export startet, endet aber nach wenigen Sekunden ohne Datei. Das Verhalten tritt im Standardbericht und in gespeicherten Sichten auf. Bitte Fehlerbild nachvollziehen und beheben.</t>
  </si>
  <si>
    <t>Zeitreihe im Bestandsreport doppelt aggregiert</t>
  </si>
  <si>
    <t>Für einzelne Monate werden Werte in der Trendansicht doppelt ausgewiesen. Die Darstellung ist fachlich nicht plausibel. Bitte Ursache in der Berechnung prüfen.</t>
  </si>
  <si>
    <t>3</t>
  </si>
  <si>
    <t>3 - Mittel</t>
  </si>
  <si>
    <t>Neues Feld Maklernummer im Vertriebsreport</t>
  </si>
  <si>
    <t>Im Vertriebsreport soll die Maklernummer als zusätzliche Spalte angezeigt werden. Dadurch kann der Fachbereich Auswertungen schneller zuordnen. Bitte Umsetzung als Change einplanen.</t>
  </si>
  <si>
    <t>ChangeRequest</t>
  </si>
  <si>
    <t>Zusätzlicher Filter Tarifgeneration im Kranken-Dashboard</t>
  </si>
  <si>
    <t>Für die Dashboard-Nutzung wird ein Filter nach Tarifgeneration benötigt. Damit sollen Auswertungen gezielter eingeschränkt werden. Bitte Erweiterung bewerten und umsetzen.</t>
  </si>
  <si>
    <t>Automatischer Versand des Wochenreports</t>
  </si>
  <si>
    <t>Zusätzlich zum bestehenden CSV-Export wird ein XLSX-Export benötigt. Die Fachbereiche wollen damit direkt weiterarbeiten. Bitte Exportformat erweitern.</t>
  </si>
  <si>
    <t>4</t>
  </si>
  <si>
    <t>4 - Niedrig</t>
  </si>
  <si>
    <t>Stornierte Fälle sollen in der Analyseansicht klar sichtbar markiert werden. Das verbessert die Nachvollziehbarkeit im Reporting. Bitte Kennzeichnung fachlich ergänzen.</t>
  </si>
  <si>
    <t>Token-Service liefert sporadisch 401</t>
  </si>
  <si>
    <t>SEU\ALH\Architektur</t>
  </si>
  <si>
    <t>API-Gateway Timeout bei Vertragsanfragen</t>
  </si>
  <si>
    <t>Aufrufe gegen den Vertragsservice laufen im Gateway nach dem Timeout ab. Betroffen sind insbesondere Anfragen mit hohem Datenvolumen. Bitte Ursache und Auswirkung analysieren.</t>
  </si>
  <si>
    <t>Eventbus verliert Nachrichten nach Retry</t>
  </si>
  <si>
    <t>Tracing-Korrelation fehlt im Fehlerfall</t>
  </si>
  <si>
    <t>Batch-Orchestrierung erzeugt doppelte Events</t>
  </si>
  <si>
    <t>API-Versionierung vereinheitlichen</t>
  </si>
  <si>
    <t>Neue Schnittstellen sollen nach einem einheitlichen Versionierungsschema publiziert werden. Damit wird die Wartbarkeit verbessert. Bitte Standard technisch hinterlegen.</t>
  </si>
  <si>
    <t>SSO-Session-Timeout konfigurierbar machen</t>
  </si>
  <si>
    <t>Leistungsantrag nach Dokumentenupload nicht speicherbar</t>
  </si>
  <si>
    <t>SEU\ALH\Kranken</t>
  </si>
  <si>
    <t>Tarifwechsel-Dialog zeigt falschen Selbstbehalt</t>
  </si>
  <si>
    <t>Erstattungsstatus bleibt auf in Bearbeitung</t>
  </si>
  <si>
    <t>Vertragssuche findet bestimmte Policen nicht</t>
  </si>
  <si>
    <t>Arbeitgeberdaten im Formular vorbelegen</t>
  </si>
  <si>
    <t>SEU\ALH\Leben</t>
  </si>
  <si>
    <t>Ablaufleistungsbrief wird nicht erzeugt</t>
  </si>
  <si>
    <t>Informationsfeld zur Dynamik im Bestand erweitern</t>
  </si>
  <si>
    <t>Automatische Wiedervorlage bei Policendarlehen</t>
  </si>
  <si>
    <t>Export der Vertragsentwicklung als PDF</t>
  </si>
  <si>
    <t>Letzten Beratungskontakt im Vertrag anzeigen</t>
  </si>
  <si>
    <t>Schadenmeldung nach Foto-Upload nicht absendbar</t>
  </si>
  <si>
    <t>SEU\ALH\Sach</t>
  </si>
  <si>
    <t>Beitragssimulation berechnet falschen Jahresbeitrag</t>
  </si>
  <si>
    <t>Neues Pflichtfeld Schadenort im Formular</t>
  </si>
  <si>
    <t>Export der Schadenliste nach Excel</t>
  </si>
  <si>
    <t>Kennzeichenhistorie in Kfz-Vertrag anzeigen</t>
  </si>
  <si>
    <t>Maklerportal Login bricht nach MFA ab</t>
  </si>
  <si>
    <t>SEU\ALH\Vertrieb</t>
  </si>
  <si>
    <t>PDF-Angebot kann nicht heruntergeladen werden</t>
  </si>
  <si>
    <t>Schnellfilter nach Vermittlerbetreuer im Portal</t>
  </si>
  <si>
    <t>Bei bald auslaufenden Angeboten soll automatisch eine Erinnerung erzeugt werden. Das soll Abschlusschancen verbessern. Bitte Benachrichtigung umsetzen.</t>
  </si>
  <si>
    <t>Letzte Kontaktaufnahme im Lead anzeigen</t>
  </si>
  <si>
    <t>Outlook Add-in startet im Fachbereich nicht</t>
  </si>
  <si>
    <t>SEU\ALH\Zentrale Systeme</t>
  </si>
  <si>
    <t>Single Sign-on verliert Sitzung nach Passwortwechsel</t>
  </si>
  <si>
    <t>Kennzahl</t>
  </si>
  <si>
    <t>Wert</t>
  </si>
  <si>
    <t>Gesamtzahl Beispiele</t>
  </si>
  <si>
    <t>10</t>
  </si>
  <si>
    <t>Anzahl</t>
  </si>
  <si>
    <t>Alle Inhalte sind frei erfunden. Die Datei ist für Demo- und Referenzzwecke gedacht und an die in config.py hinterlegten Zielwerte angepasst.</t>
  </si>
  <si>
    <t>Referenzdatei für das Training der KI-Klassifikatoren</t>
  </si>
  <si>
    <t>Beispiel für einen historischen Ticketdatensatz, mit dem die vier Klassifikationsdimensionen des Prototyps nachvollzogen werden koennen.</t>
  </si>
  <si>
    <t>KPI-Übersicht auch als XLSX bereitstellen</t>
  </si>
  <si>
    <t>Stornierte Fälle in Analyseansicht kennzeichnen</t>
  </si>
  <si>
    <t>Für mehrere Kernservices soll ein standardisierter Health-Endpoint bereitgestellt werden. Das erleichtert Monitoring und Deployment-Checks. Bitte technische Umsetzung planen.</t>
  </si>
  <si>
    <t>Zentrales Retry-Handling für Downstream-Calls</t>
  </si>
  <si>
    <t>Wiederholte Aufrufe auf Downstream-Systeme sollen über eine gemeinsame Retry-Logik laufen. Das reduziert inkonsistente Fehlerbehandlung. Bitte Architekturkomponente erweitern.</t>
  </si>
  <si>
    <t>OpenAPI-Spezifikation automatisch veröffentlichen</t>
  </si>
  <si>
    <t>Nach dem Upload eines Belegs lässt sich der Leistungsantrag nicht mehr speichern. Der Vorgang bleibt ohne konkrete Fehlermeldung im Formular stehen. Bitte Fehleranalyse und Korrektur vornehmen.</t>
  </si>
  <si>
    <t>Nach einem technischen Retry fehlen vereinzelt Ereignisse in nachgelagerten Services. Dadurch entstehen inkonsistente Verarbeitungsstände. Bitte Nachrichtenfluss prüfen.</t>
  </si>
  <si>
    <t>Ein Teil der Krankenpolicen kann über die Suche nur unvollständig oder gar nicht gefunden werden. Besonders betroffen sind Altverträge. Bitte Suchindex untersuchen.</t>
  </si>
  <si>
    <t>Beitragsfreistellung kann nicht bestätigt werden</t>
  </si>
  <si>
    <t>Suche nach Lebensverträgen mit Sonderzeichen fehlerhaft</t>
  </si>
  <si>
    <t>Verträge mit Namen oder Merkmalen mit Sonderzeichen lassen sich nicht sauber suchen. Trefferlisten sind unvollständig. Bitte Suchverhalten analysieren.</t>
  </si>
  <si>
    <t>Beim ändern des Bezugsrechts soll eine erweiterte Validierung greifen. Dadurch werden formale Fehler vermieden. Bitte Regel umsetzen.</t>
  </si>
  <si>
    <t>Bestandsansicht lädt Adressdaten unvollständig</t>
  </si>
  <si>
    <t>In der Sachvertragsansicht fehlen bei mehreren Verträgen einzelne Adressfelder. Die Daten werden nur teilweise geladen. Bitte Datenversorgung untersuchen.</t>
  </si>
  <si>
    <t>Dokumentenarchiv zu Hausratfällen nicht erreichbar</t>
  </si>
  <si>
    <t>Vertriebsdashboard lädt Kundentermine unvollständig</t>
  </si>
  <si>
    <t>Im Dashboard werden nicht alle Kundentermine der Woche angezeigt. Die Liste scheint nach einigen Einträgen abzuschneiden. Bitte Ursache analysieren.</t>
  </si>
  <si>
    <t>Nach der Angebotserstellung lässt sich das PDF nicht aus dem Portal herunterladen. Der Download endet in einer Fehlermeldung. Bitte Fehler beheben.</t>
  </si>
  <si>
    <t>Export von Aktivitätslisten nach XLSX</t>
  </si>
  <si>
    <t>In der Lead-Ansicht soll der letzte Kundenkontakt sichtbar sein. Damit werden doppelte Kontaktaufnahmen vermieden. Bitte Anzeige ergänzen.</t>
  </si>
  <si>
    <t>Das eingesetzte Outlook Add-in startet auf mehreren Arbeitsplätzen nicht mehr. Der Fehler trat nach dem letzten Update auf. Bitte Verhalten analysieren.</t>
  </si>
  <si>
    <t>Batchmonitor zeigt nächtliche Jobs mehrfach rot</t>
  </si>
  <si>
    <t>Die Aufbewahrungszeit der Logdateien soll konfigurierbar verlängert werden. Der Bedarf kommt aus Revision und Betrieb. Bitte Change vorbereiten.</t>
  </si>
  <si>
    <t>Im Schadenformular soll der Schadenort als Pflichtfeld aufgenommen werden. Diese Information wird im Folgeprozess zwingend benötigt. Bitte Formular entsprechend erweitern.</t>
  </si>
  <si>
    <t>Aktivitätslisten sollen direkt als XLSX exportiert werden können. Die Auswertung erfolgt anschliessend im Fachbereich. Bitte Export erweitern.</t>
  </si>
  <si>
    <t>Dateiserver reagiert vormittags stark verzögert</t>
  </si>
  <si>
    <t>Am Vormittag sind Zugriffe auf den Dateiserver deutlich verlangsamt. Mehrere Teams melden Wartezeiten beim öffnen von Dateien. Bitte Ursache eingrenzen.</t>
  </si>
  <si>
    <t>Druckserver verarbeitet PDF-Anhänge verzögert</t>
  </si>
  <si>
    <t>Bei kritischen Batchfehlern soll eine zusätzliche Alarmierung an den Bereitschaftsdienst erfolgen. Dadurch können Störungen schneller bearbeitet werden. Bitte Change umsetzen.</t>
  </si>
  <si>
    <t>Der Fachbereich benötigt lesenden Zugriff auf das Betriebsdashboard. Damit können Störungsbilder schneller eingeordnet werden. Bitte Berechtigungskonzept erweitern.</t>
  </si>
  <si>
    <t>Aufbewahrungszeit für Logdateien anpassen</t>
  </si>
  <si>
    <t>Für gesperrte Fachkonten soll ein Self-Service Reset bereitgestellt werden. Das entlastet den Support im Tagesgeschäft. Bitte Erweiterung planen.</t>
  </si>
  <si>
    <t>Self-Service Reset für gesperrte Fachkonten</t>
  </si>
  <si>
    <t>Zusätzliche Alarmierung für kritische Batchfehler</t>
  </si>
  <si>
    <t>Beim Öffnen des Monatsberichts daürn Filter und Drilldowns deutlich länger als üblich. Mehrere Nutzer melden Antwortzeiten über zwei Minuten. Bitte Performanceproblem eingrenzen.</t>
  </si>
  <si>
    <t>Der Wochenreport soll jeden Montag automatisch an den Verteiler gesendet werden. Der manülle Versand entfällt damit. Bitte Versandlogik als Change umsetzen.</t>
  </si>
  <si>
    <t>Mehrere Fachanwendungen erhalten trotz gültiger Anmeldung sporadisch einen 401-Fehler. Das Problem tritt vor allem nach längeren Sitzungen auf. Bitte Authentifizierungsfluss prüfen.</t>
  </si>
  <si>
    <t>In den Logs lässt sich eine fehlerhafte Anfrage nicht durchgängig verfolgen. Die Correlation-ID geht zwischen zwei Services verloren. Bitte Logging und Telemetrie prüfen.</t>
  </si>
  <si>
    <t>Ein nächtlicher Orchestrierungsjob erzeugt doppelte Events für dieselben fachlichen Objekte. Nachgelagerte Systeme verarbeiten diese dann mehrfach. Bitte Ablauf und Sperrlogik untersuchen.</t>
  </si>
  <si>
    <t>Health-Endpoint für Kernservices einführen</t>
  </si>
  <si>
    <t>Das Session-Timeout des zentralen SSO soll je Anwendungskontext konfigurierbar werden. Aktüll ist der Wert fest hinterlegt. Bitte technische Konfiguration ermöglichen.</t>
  </si>
  <si>
    <t>Im Tarifwechsel wird für bestimmte Tarife ein unzutreffender Selbstbehalt angezeigt. Die Werte stimmen nicht mit den fachlichen Vorgaben überein. Bitte Berechnungslogik prüfen.</t>
  </si>
  <si>
    <t>Im Kundenportal bleibt der Status eines abgeschlossenen Leistungsfalls auf in Bearbeitung stehen. Dadurch entstehen Rückfragen beim Fachbereich. Bitte Statusübergang prüfen.</t>
  </si>
  <si>
    <t>Druckstück für Kostenübernahme ist leer</t>
  </si>
  <si>
    <t>Das erzeugte Schreiben zur Kostenübernahme enthält nur Briefkopf und Fusszeile. Fachliche Inhalte fehlen komplett. Bitte Dokumentenerzeugung prüfen.</t>
  </si>
  <si>
    <t>Zusätzliche Plausibilitätsprüfung im Leistungsantrag</t>
  </si>
  <si>
    <t>Vor dem Absenden soll der Leistungsantrag auf fehlende Pflichtangaben geprüft werden. Damit werden unvollständige Anträge reduziert. Bitte als Change einplanen.</t>
  </si>
  <si>
    <t>Im Antrag wird ein zusätzliches Auswahlfeld für die Versorgungsart benötigt. Der Fachbereich braucht diese Information früher im Prozess. Bitte Formular erweitern.</t>
  </si>
  <si>
    <t>E-Mail-Benachrichtigung bei Rückfrage an Sachbearbeitung</t>
  </si>
  <si>
    <t>Wenn ein Fall mit Rückfrage an die Sachbearbeitung geht, soll automatisch eine E-Mail erzeugt werden. So werden Liegezeiten reduziert. Bitte Benachrichtigungslogik umsetzen.</t>
  </si>
  <si>
    <t>Bestehende Arbeitgeberdaten sollen im Krankenformular automatisch vorbelegt werden. Das spart manülle Eingaben. Bitte Vorbelegung integrieren.</t>
  </si>
  <si>
    <t>Historie für Tarifwechsel im Vorgang anzeigen</t>
  </si>
  <si>
    <t>Im Vorgang soll die bisherige Tarifwechselhistorie sichtbar gemacht werden. Die Fachabteilung benötigt diese Information für die Bearbeitung. Bitte Anzeige erweitern.</t>
  </si>
  <si>
    <t>Rückkaufswertberechnung liefert Fehler bei Altverträgen</t>
  </si>
  <si>
    <t>Bei Altverträgen bricht die Rückkaufswertberechnung mit einem technischen Fehler ab. Die Berechnung kann dadurch nicht abgeschlossen werden. Bitte Problem analysieren und beheben.</t>
  </si>
  <si>
    <t>Policenübersicht zeigt falschen Fälligkeitstermin</t>
  </si>
  <si>
    <t>In der übersicht wird für einzelne Lebensverträge ein falscher Fälligkeitstermin angezeigt. Die Abweichung ist fachlich kritisch. Bitte Terminlogik prüfen.</t>
  </si>
  <si>
    <t>Die Bestätigung einer Beitragsfreistellung endet nach dem Speichern in einer Fehlermeldung. Der Vorgang bleibt offen. Bitte Ablauf prüfen.</t>
  </si>
  <si>
    <t>Für einen abgeschlossenen Vertrag wird kein Ablaufleistungsbrief erstellt. Es ist kein Dokument im Archiv vorhanden. Bitte Dokumentenprozess untersuchen.</t>
  </si>
  <si>
    <t>In der Bestandsansicht soll ein zusätzliches Feld zur Dynamik eingeblendet werden. Das verbessert die fachliche Einordnung für die Bearbeitung. Bitte als Change umsetzen.</t>
  </si>
  <si>
    <t>Für Policendarlehen soll automatisch eine Wiedervorlage erzeugt werden. So können Folgeschritte fristgerecht bearbeitet werden. Bitte Workflow erweitern.</t>
  </si>
  <si>
    <t>Die Entwicklung eines Vertrags soll direkt als PDF exportiert werden können. Bisher ist nur die Bildschirmansicht verfügbar. Bitte Exportfunktion ergänzen.</t>
  </si>
  <si>
    <t>Im Vertrag soll der letzte Beratungskontakt angezeigt werden. Die Information wird für Rückfragen benötigt. Bitte Anzeige in der Maske ergänzen.</t>
  </si>
  <si>
    <t>Nach dem Hochladen von Fotos lässt sich die Schadenmeldung nicht abschicken. Der Sendevorgang bleibt ohne Abschlussmeldung stehen. Bitte Upload- und Sendeprozess prüfen.</t>
  </si>
  <si>
    <t>Die Beitragssimulation liefert für bestimmte Konstellationen einen zu hohen Jahresbeitrag. Der Fachbereich hat dies in Tests nachvollzogen. Bitte Berechnungsregel prüfen.</t>
  </si>
  <si>
    <t>Für Hausratfälle öffnet sich das zugehörige Dokumentenarchiv derzeit nicht. Die Verknüpfung endet in einer Fehlermeldung. Bitte Ursache feststellen.</t>
  </si>
  <si>
    <t>Kündigungsdatum wird falsch angezeigt</t>
  </si>
  <si>
    <t>Im Vertrag wird ein unzutreffendes Kündigungsdatum angezeigt. Dadurch entstehen fachliche Rückfragen und Unsicherheit. Bitte Datumslogik korrigieren.</t>
  </si>
  <si>
    <t>E-Mail-Vorlage für Nachforderung an Kunden</t>
  </si>
  <si>
    <t>Für fehlende Unterlagen soll eine standardisierte E-Mail-Vorlage bereitgestellt werden. Das beschleunigt die Bearbeitung in der Fachabteilung. Bitte Change umsetzen.</t>
  </si>
  <si>
    <t>Vorschaubild für hochgeladene Dokumente</t>
  </si>
  <si>
    <t>Nach dem Upload soll ein Vorschaubild für Dokumente sichtbar sein. Dadurch können Sachbearbeiter Inhalte schneller prüfen. Bitte Erweiterung bewerten.</t>
  </si>
  <si>
    <t>Die Schadenliste soll direkt nach Excel exportiert werden können. Bisher steht nur eine reine Druckansicht zur Verfügung. Bitte Exportfunktion ergänzen.</t>
  </si>
  <si>
    <t>Im Kfz-Vertrag soll die Historie der Kennzeichen sichtbar sein. Die Fachbereiche benötigen dies für die Nachvollziehbarkeit. Bitte Anzeige umsetzen.</t>
  </si>
  <si>
    <t>Nach erfolgreicher MFA landet der Nutzer wieder auf der Login-Seite. Betroffen sind mehrere Maklerzugriffe. Bitte Anmeldefluss prüfen.</t>
  </si>
  <si>
    <t>Angebotsstrecke übernimmt Postleitzahl nicht</t>
  </si>
  <si>
    <t>In der Angebotsstrecke wird die eingegebene Postleitzahl im nächsten Schritt nicht übernommen. Dadurch kann der Prozess nicht sauber fortgesetzt werden. Bitte Formularfluss analysieren.</t>
  </si>
  <si>
    <t>Provisionsübersicht zeigt leere Werte im Monatsabschluss</t>
  </si>
  <si>
    <t>Zum Monatsabschluss fehlen in der Provisionsübersicht einzelne Werte. Das tritt aktüll bei mehreren Vermittlern auf. Bitte Datenversorgung prüfen.</t>
  </si>
  <si>
    <t>Für Sonderkonditionen wird ein zusätzliches Freigabefeld im Vertriebsprozess benötigt. Damit können Ausnahmen besser dokumentiert werden. Bitte Change einplanen.</t>
  </si>
  <si>
    <t>Automatische Erinnerung für auslaufende Angebote</t>
  </si>
  <si>
    <t>Nach einem Passwortwechsel wird die Sitzung im SSO unerwartet beendet. Nutzer müssen sich mehrfach neu anmelden. Bitte Session-Handling prüfen.</t>
  </si>
  <si>
    <t>Im Batchmonitor erscheinen erfolgreich gelaufene Jobs als fehlerhaft markiert. Die Anzeige stimmt nicht mit den Logs überein. Bitte Monitoring prüfen.</t>
  </si>
  <si>
    <t>Standardreport für Systemverfügbarkeit</t>
  </si>
  <si>
    <t>Lesender Zugriff auf Betriebsdashboard für Fachbereich</t>
  </si>
  <si>
    <t>Ein zentraler Report zur Systemverfügbarkeit soll monatlich bereitgestellt werden. Der Report wird für Steuerung und Review benötigt. Bitte Reporting erweitern.</t>
  </si>
  <si>
    <t>PDF-Anhänge werden aktuell stark zeitverzögert an den Druckserver übergeben. Dadurch entstehen Rückstände in der Verarbeitung. Bitte Fehler untersuchen.</t>
  </si>
  <si>
    <t>Für neue Services soll die OpenAPI-Spezifikation automatisiert im Entwicklungsprozess publiziert werden. Damit stehen Schnittstellenbeschreibungen immer aktüll bereit. Bitte Change umsetzen.</t>
  </si>
  <si>
    <t>Neues Auswahlfeld für Versorgungsart im Antrag</t>
  </si>
  <si>
    <t>Neue Validierung für Bezugsrechtsänderung</t>
  </si>
  <si>
    <t>Neues Freigabefeld für Sonderkonditionen</t>
  </si>
  <si>
    <t>Im Portal soll ein Schnellfilter nach Vermittlerbetreuer verfügbar sein. Die Nutzer wollen schneller zu ihren Fällen navigieren. Bitte Filter ergänzen.</t>
  </si>
  <si>
    <t>Übersicht zum Beispieldatensatz</t>
  </si>
  <si>
    <t>Minimale Klassenanzahl für Auto-Split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</si>
</sst>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02630"/>
      <name val="Calibri"/>
    </font>
    <font>
      <b/>
      <sz val="11"/>
      <color rgb="FF1F3B63"/>
      <name val="Calibri"/>
    </font>
    <font>
      <b/>
      <sz val="11"/>
      <color rgb="FF202630"/>
      <name val="Calibri"/>
    </font>
    <font>
      <b/>
      <sz val="13"/>
      <color rgb="FF16324F"/>
      <name val="Calibri"/>
    </font>
    <font>
      <sz val="11"/>
      <name val="Carlito"/>
    </font>
    <font>
      <sz val="11"/>
      <color rgb="FF1F3B63"/>
      <name val="Calibri"/>
      <family val="2"/>
    </font>
    <font>
      <b/>
      <sz val="11"/>
      <color rgb="FF1F3B6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8"/>
      </patternFill>
    </fill>
    <fill>
      <patternFill patternType="solid">
        <fgColor rgb="FFEEF4FB"/>
      </patternFill>
    </fill>
    <fill>
      <patternFill patternType="solid">
        <fgColor rgb="FFF8FAFD"/>
      </patternFill>
    </fill>
  </fills>
  <borders count="13">
    <border>
      <left/>
      <right/>
      <top/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1" fillId="0" borderId="0" xfId="1" applyFont="1"/>
    <xf numFmtId="0" fontId="1" fillId="0" borderId="2" xfId="1" applyFont="1" applyBorder="1"/>
    <xf numFmtId="0" fontId="1" fillId="0" borderId="3" xfId="1" applyFont="1" applyBorder="1"/>
    <xf numFmtId="0" fontId="1" fillId="0" borderId="4" xfId="1" applyFont="1" applyBorder="1"/>
    <xf numFmtId="0" fontId="1" fillId="0" borderId="5" xfId="1" applyFont="1" applyBorder="1"/>
    <xf numFmtId="0" fontId="1" fillId="0" borderId="2" xfId="1" applyFont="1" applyBorder="1" applyAlignment="1">
      <alignment wrapText="1"/>
    </xf>
    <xf numFmtId="0" fontId="1" fillId="0" borderId="3" xfId="1" applyFont="1" applyBorder="1" applyAlignment="1">
      <alignment wrapText="1"/>
    </xf>
    <xf numFmtId="0" fontId="1" fillId="0" borderId="4" xfId="1" applyFont="1" applyBorder="1" applyAlignment="1">
      <alignment wrapText="1"/>
    </xf>
    <xf numFmtId="0" fontId="1" fillId="0" borderId="5" xfId="1" applyFont="1" applyBorder="1" applyAlignment="1">
      <alignment wrapText="1"/>
    </xf>
    <xf numFmtId="0" fontId="1" fillId="0" borderId="1" xfId="1" applyFont="1" applyBorder="1" applyAlignment="1">
      <alignment vertical="top" wrapText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3" fillId="2" borderId="0" xfId="1" applyFont="1" applyFill="1" applyAlignment="1">
      <alignment vertical="center" wrapText="1"/>
    </xf>
    <xf numFmtId="0" fontId="3" fillId="3" borderId="6" xfId="1" applyFont="1" applyFill="1" applyBorder="1" applyAlignment="1">
      <alignment vertical="center" wrapText="1"/>
    </xf>
    <xf numFmtId="0" fontId="3" fillId="3" borderId="9" xfId="1" applyFont="1" applyFill="1" applyBorder="1" applyAlignment="1">
      <alignment horizontal="center" vertical="top" wrapText="1"/>
    </xf>
    <xf numFmtId="0" fontId="3" fillId="3" borderId="11" xfId="1" applyFont="1" applyFill="1" applyBorder="1" applyAlignment="1">
      <alignment horizontal="center" vertical="top" wrapText="1"/>
    </xf>
    <xf numFmtId="0" fontId="3" fillId="3" borderId="10" xfId="1" applyFont="1" applyFill="1" applyBorder="1" applyAlignment="1">
      <alignment horizontal="center" vertical="top" wrapText="1"/>
    </xf>
    <xf numFmtId="0" fontId="3" fillId="3" borderId="7" xfId="1" applyFont="1" applyFill="1" applyBorder="1" applyAlignment="1">
      <alignment vertical="center" wrapText="1"/>
    </xf>
    <xf numFmtId="0" fontId="3" fillId="3" borderId="8" xfId="1" applyFont="1" applyFill="1" applyBorder="1" applyAlignment="1">
      <alignment vertical="center" wrapText="1"/>
    </xf>
    <xf numFmtId="0" fontId="2" fillId="2" borderId="12" xfId="1" applyFont="1" applyFill="1" applyBorder="1" applyAlignment="1">
      <alignment horizontal="center" vertical="center"/>
    </xf>
    <xf numFmtId="0" fontId="4" fillId="2" borderId="0" xfId="1" applyFont="1" applyFill="1" applyAlignment="1">
      <alignment vertical="center" wrapText="1"/>
    </xf>
    <xf numFmtId="0" fontId="2" fillId="3" borderId="9" xfId="1" applyFont="1" applyFill="1" applyBorder="1"/>
    <xf numFmtId="0" fontId="2" fillId="3" borderId="10" xfId="1" applyFont="1" applyFill="1" applyBorder="1"/>
    <xf numFmtId="0" fontId="2" fillId="4" borderId="6" xfId="1" applyFont="1" applyFill="1" applyBorder="1"/>
    <xf numFmtId="0" fontId="2" fillId="3" borderId="9" xfId="1" applyFont="1" applyFill="1" applyBorder="1" applyAlignment="1">
      <alignment wrapText="1"/>
    </xf>
    <xf numFmtId="0" fontId="2" fillId="3" borderId="10" xfId="1" applyFont="1" applyFill="1" applyBorder="1" applyAlignment="1">
      <alignment wrapText="1"/>
    </xf>
    <xf numFmtId="0" fontId="6" fillId="0" borderId="9" xfId="1" applyFont="1" applyFill="1" applyBorder="1" applyAlignment="1">
      <alignment wrapText="1"/>
    </xf>
    <xf numFmtId="0" fontId="6" fillId="0" borderId="10" xfId="1" applyFont="1" applyFill="1" applyBorder="1" applyAlignment="1">
      <alignment wrapText="1"/>
    </xf>
    <xf numFmtId="0" fontId="7" fillId="4" borderId="8" xfId="1" applyFont="1" applyFill="1" applyBorder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DE"/>
              <a:t>Verteilung nach Bereich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Anzahl</c:v>
          </c:tx>
          <c:invertIfNegative val="1"/>
          <c:cat>
            <c:strRef>
              <c:f>Übersicht!$A$12:$A$18</c:f>
              <c:strCache>
                <c:ptCount val="7"/>
                <c:pt idx="0">
                  <c:v>SEU\ALH\Analytics</c:v>
                </c:pt>
                <c:pt idx="1">
                  <c:v>SEU\ALH\Architektur</c:v>
                </c:pt>
                <c:pt idx="2">
                  <c:v>SEU\ALH\Kranken</c:v>
                </c:pt>
                <c:pt idx="3">
                  <c:v>SEU\ALH\Leben</c:v>
                </c:pt>
                <c:pt idx="4">
                  <c:v>SEU\ALH\Sach</c:v>
                </c:pt>
                <c:pt idx="5">
                  <c:v>SEU\ALH\Vertrieb</c:v>
                </c:pt>
                <c:pt idx="6">
                  <c:v>SEU\ALH\Zentrale Systeme</c:v>
                </c:pt>
              </c:strCache>
            </c:strRef>
          </c:cat>
          <c:val>
            <c:numRef>
              <c:f>Übersicht!$B$12:$B$18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F-412A-8BAD-1626E281E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71">
  <tableColumns count="6">
    <tableColumn id="1" xr3:uid="{00000000-0010-0000-0000-000001000000}" name="Titel"/>
    <tableColumn id="2" xr3:uid="{00000000-0010-0000-0000-000002000000}" name="Beschreibung"/>
    <tableColumn id="3" xr3:uid="{00000000-0010-0000-0000-000003000000}" name="Typ"/>
    <tableColumn id="4" xr3:uid="{00000000-0010-0000-0000-000004000000}" name="Bereich"/>
    <tableColumn id="5" xr3:uid="{00000000-0010-0000-0000-000005000000}" name="Prio"/>
    <tableColumn id="6" xr3:uid="{00000000-0010-0000-0000-000006000000}" name="Schweregr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ColWidth="9" defaultRowHeight="14.25"/>
  <cols>
    <col min="1" max="1" width="22" customWidth="1"/>
    <col min="2" max="2" width="88" customWidth="1"/>
    <col min="3" max="3" width="4" customWidth="1"/>
    <col min="4" max="4" width="18" customWidth="1"/>
    <col min="5" max="5" width="33" customWidth="1"/>
    <col min="6" max="6" width="38" customWidth="1"/>
  </cols>
  <sheetData>
    <row r="1" spans="1:6" ht="93.95" customHeight="1">
      <c r="A1" s="15" t="s">
        <v>95</v>
      </c>
      <c r="B1" s="15"/>
      <c r="C1" s="15"/>
      <c r="D1" s="15"/>
      <c r="E1" s="15"/>
      <c r="F1" s="15"/>
    </row>
    <row r="2" spans="1:6" ht="15" customHeight="1">
      <c r="A2" s="1"/>
      <c r="B2" s="1"/>
      <c r="C2" s="1"/>
      <c r="D2" s="1"/>
      <c r="E2" s="1"/>
      <c r="F2" s="1"/>
    </row>
    <row r="3" spans="1:6" ht="241.7" customHeight="1">
      <c r="A3" s="16" t="s">
        <v>0</v>
      </c>
      <c r="B3" s="10" t="s">
        <v>96</v>
      </c>
      <c r="C3" s="1"/>
      <c r="D3" s="17" t="s">
        <v>1</v>
      </c>
      <c r="E3" s="18" t="s">
        <v>2</v>
      </c>
      <c r="F3" s="19" t="s">
        <v>3</v>
      </c>
    </row>
    <row r="4" spans="1:6" ht="80.650000000000006" customHeight="1">
      <c r="A4" s="20" t="s">
        <v>4</v>
      </c>
      <c r="B4" s="12" t="s">
        <v>5</v>
      </c>
      <c r="C4" s="1"/>
      <c r="D4" s="11" t="s">
        <v>6</v>
      </c>
      <c r="E4" s="14" t="s">
        <v>7</v>
      </c>
      <c r="F4" s="12" t="s">
        <v>8</v>
      </c>
    </row>
    <row r="5" spans="1:6" ht="67.150000000000006" customHeight="1">
      <c r="A5" s="20" t="s">
        <v>9</v>
      </c>
      <c r="B5" s="12" t="s">
        <v>10</v>
      </c>
      <c r="C5" s="1"/>
      <c r="D5" s="11" t="s">
        <v>11</v>
      </c>
      <c r="E5" s="14" t="s">
        <v>12</v>
      </c>
      <c r="F5" s="12" t="s">
        <v>13</v>
      </c>
    </row>
    <row r="6" spans="1:6" ht="80.650000000000006" customHeight="1">
      <c r="A6" s="20" t="s">
        <v>14</v>
      </c>
      <c r="B6" s="12" t="s">
        <v>15</v>
      </c>
      <c r="C6" s="1"/>
      <c r="D6" s="11" t="s">
        <v>16</v>
      </c>
      <c r="E6" s="14" t="s">
        <v>17</v>
      </c>
      <c r="F6" s="12" t="s">
        <v>18</v>
      </c>
    </row>
    <row r="7" spans="1:6" ht="255.2" customHeight="1">
      <c r="A7" s="21" t="s">
        <v>19</v>
      </c>
      <c r="B7" s="13" t="s">
        <v>94</v>
      </c>
      <c r="C7" s="1"/>
      <c r="D7" s="11" t="s">
        <v>20</v>
      </c>
      <c r="E7" s="14" t="s">
        <v>21</v>
      </c>
      <c r="F7" s="12" t="s">
        <v>22</v>
      </c>
    </row>
    <row r="8" spans="1:6" ht="15" customHeight="1">
      <c r="A8" s="1"/>
      <c r="B8" s="1"/>
      <c r="C8" s="1"/>
      <c r="D8" s="1"/>
      <c r="E8" s="1"/>
      <c r="F8" s="1"/>
    </row>
    <row r="9" spans="1:6" ht="15" customHeight="1">
      <c r="A9" s="1"/>
      <c r="B9" s="1"/>
      <c r="C9" s="1"/>
      <c r="D9" s="1"/>
      <c r="E9" s="1"/>
      <c r="F9" s="1"/>
    </row>
    <row r="10" spans="1:6" ht="15" customHeight="1">
      <c r="A10" s="1"/>
      <c r="B10" s="1"/>
      <c r="C10" s="1"/>
      <c r="D10" s="1"/>
      <c r="E10" s="1"/>
      <c r="F10" s="1"/>
    </row>
    <row r="11" spans="1:6" ht="15" customHeight="1">
      <c r="A11" s="1"/>
      <c r="B11" s="1"/>
      <c r="C11" s="1"/>
      <c r="D11" s="1"/>
      <c r="E11" s="1"/>
      <c r="F11" s="1"/>
    </row>
    <row r="12" spans="1:6" ht="15" customHeight="1">
      <c r="A12" s="1"/>
      <c r="B12" s="1"/>
      <c r="C12" s="1"/>
      <c r="D12" s="1"/>
      <c r="E12" s="1"/>
      <c r="F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workbookViewId="0">
      <selection activeCell="C7" sqref="C7"/>
    </sheetView>
  </sheetViews>
  <sheetFormatPr baseColWidth="10" defaultColWidth="9" defaultRowHeight="14.25"/>
  <cols>
    <col min="1" max="1" width="38" customWidth="1"/>
    <col min="2" max="2" width="100" customWidth="1"/>
    <col min="3" max="3" width="18" customWidth="1"/>
    <col min="4" max="4" width="28" customWidth="1"/>
    <col min="5" max="5" width="10" customWidth="1"/>
    <col min="6" max="6" width="18" customWidth="1"/>
  </cols>
  <sheetData>
    <row r="1" spans="1:6" ht="24" customHeight="1">
      <c r="A1" s="22" t="s">
        <v>23</v>
      </c>
      <c r="B1" s="22" t="s">
        <v>24</v>
      </c>
      <c r="C1" s="22" t="s">
        <v>6</v>
      </c>
      <c r="D1" s="22" t="s">
        <v>11</v>
      </c>
      <c r="E1" s="22" t="s">
        <v>16</v>
      </c>
      <c r="F1" s="22" t="s">
        <v>20</v>
      </c>
    </row>
    <row r="2" spans="1:6" ht="42" customHeight="1">
      <c r="A2" s="14" t="s">
        <v>25</v>
      </c>
      <c r="B2" s="14" t="s">
        <v>26</v>
      </c>
      <c r="C2" s="14" t="s">
        <v>27</v>
      </c>
      <c r="D2" s="14" t="s">
        <v>28</v>
      </c>
      <c r="E2" s="14" t="s">
        <v>29</v>
      </c>
      <c r="F2" s="14" t="s">
        <v>30</v>
      </c>
    </row>
    <row r="3" spans="1:6" ht="42" customHeight="1">
      <c r="A3" s="14" t="s">
        <v>31</v>
      </c>
      <c r="B3" s="14" t="s">
        <v>32</v>
      </c>
      <c r="C3" s="14" t="s">
        <v>27</v>
      </c>
      <c r="D3" s="14" t="s">
        <v>28</v>
      </c>
      <c r="E3" s="14" t="s">
        <v>29</v>
      </c>
      <c r="F3" s="14" t="s">
        <v>30</v>
      </c>
    </row>
    <row r="4" spans="1:6" ht="42" customHeight="1">
      <c r="A4" s="14" t="s">
        <v>33</v>
      </c>
      <c r="B4" s="14" t="s">
        <v>132</v>
      </c>
      <c r="C4" s="14" t="s">
        <v>27</v>
      </c>
      <c r="D4" s="14" t="s">
        <v>28</v>
      </c>
      <c r="E4" s="14" t="s">
        <v>34</v>
      </c>
      <c r="F4" s="14" t="s">
        <v>35</v>
      </c>
    </row>
    <row r="5" spans="1:6" ht="42" customHeight="1">
      <c r="A5" s="14" t="s">
        <v>36</v>
      </c>
      <c r="B5" s="14" t="s">
        <v>37</v>
      </c>
      <c r="C5" s="14" t="s">
        <v>27</v>
      </c>
      <c r="D5" s="14" t="s">
        <v>28</v>
      </c>
      <c r="E5" s="14" t="s">
        <v>34</v>
      </c>
      <c r="F5" s="14" t="s">
        <v>35</v>
      </c>
    </row>
    <row r="6" spans="1:6" ht="42" customHeight="1">
      <c r="A6" s="14" t="s">
        <v>38</v>
      </c>
      <c r="B6" s="14" t="s">
        <v>39</v>
      </c>
      <c r="C6" s="14" t="s">
        <v>27</v>
      </c>
      <c r="D6" s="14" t="s">
        <v>28</v>
      </c>
      <c r="E6" s="14" t="s">
        <v>40</v>
      </c>
      <c r="F6" s="14" t="s">
        <v>41</v>
      </c>
    </row>
    <row r="7" spans="1:6" ht="42" customHeight="1">
      <c r="A7" s="14" t="s">
        <v>42</v>
      </c>
      <c r="B7" s="14" t="s">
        <v>43</v>
      </c>
      <c r="C7" s="14" t="s">
        <v>44</v>
      </c>
      <c r="D7" s="14" t="s">
        <v>28</v>
      </c>
      <c r="E7" s="14" t="s">
        <v>34</v>
      </c>
      <c r="F7" s="14" t="s">
        <v>35</v>
      </c>
    </row>
    <row r="8" spans="1:6" ht="42" customHeight="1">
      <c r="A8" s="14" t="s">
        <v>45</v>
      </c>
      <c r="B8" s="14" t="s">
        <v>46</v>
      </c>
      <c r="C8" s="14" t="s">
        <v>44</v>
      </c>
      <c r="D8" s="14" t="s">
        <v>28</v>
      </c>
      <c r="E8" s="14" t="s">
        <v>40</v>
      </c>
      <c r="F8" s="14" t="s">
        <v>41</v>
      </c>
    </row>
    <row r="9" spans="1:6" ht="42" customHeight="1">
      <c r="A9" s="14" t="s">
        <v>47</v>
      </c>
      <c r="B9" s="14" t="s">
        <v>133</v>
      </c>
      <c r="C9" s="14" t="s">
        <v>44</v>
      </c>
      <c r="D9" s="14" t="s">
        <v>28</v>
      </c>
      <c r="E9" s="14" t="s">
        <v>40</v>
      </c>
      <c r="F9" s="14" t="s">
        <v>41</v>
      </c>
    </row>
    <row r="10" spans="1:6" ht="42" customHeight="1">
      <c r="A10" s="14" t="s">
        <v>97</v>
      </c>
      <c r="B10" s="14" t="s">
        <v>48</v>
      </c>
      <c r="C10" s="14" t="s">
        <v>44</v>
      </c>
      <c r="D10" s="14" t="s">
        <v>28</v>
      </c>
      <c r="E10" s="14" t="s">
        <v>49</v>
      </c>
      <c r="F10" s="14" t="s">
        <v>50</v>
      </c>
    </row>
    <row r="11" spans="1:6" ht="42" customHeight="1">
      <c r="A11" s="14" t="s">
        <v>98</v>
      </c>
      <c r="B11" s="14" t="s">
        <v>51</v>
      </c>
      <c r="C11" s="14" t="s">
        <v>44</v>
      </c>
      <c r="D11" s="14" t="s">
        <v>28</v>
      </c>
      <c r="E11" s="14" t="s">
        <v>49</v>
      </c>
      <c r="F11" s="14" t="s">
        <v>50</v>
      </c>
    </row>
    <row r="12" spans="1:6" ht="42" customHeight="1">
      <c r="A12" s="14" t="s">
        <v>52</v>
      </c>
      <c r="B12" s="14" t="s">
        <v>134</v>
      </c>
      <c r="C12" s="14" t="s">
        <v>27</v>
      </c>
      <c r="D12" s="14" t="s">
        <v>53</v>
      </c>
      <c r="E12" s="14" t="s">
        <v>29</v>
      </c>
      <c r="F12" s="14" t="s">
        <v>30</v>
      </c>
    </row>
    <row r="13" spans="1:6" ht="42" customHeight="1">
      <c r="A13" s="14" t="s">
        <v>54</v>
      </c>
      <c r="B13" s="14" t="s">
        <v>55</v>
      </c>
      <c r="C13" s="14" t="s">
        <v>27</v>
      </c>
      <c r="D13" s="14" t="s">
        <v>53</v>
      </c>
      <c r="E13" s="14" t="s">
        <v>29</v>
      </c>
      <c r="F13" s="14" t="s">
        <v>30</v>
      </c>
    </row>
    <row r="14" spans="1:6" ht="42" customHeight="1">
      <c r="A14" s="14" t="s">
        <v>56</v>
      </c>
      <c r="B14" s="14" t="s">
        <v>104</v>
      </c>
      <c r="C14" s="14" t="s">
        <v>27</v>
      </c>
      <c r="D14" s="14" t="s">
        <v>53</v>
      </c>
      <c r="E14" s="14" t="s">
        <v>34</v>
      </c>
      <c r="F14" s="14" t="s">
        <v>35</v>
      </c>
    </row>
    <row r="15" spans="1:6" ht="42" customHeight="1">
      <c r="A15" s="14" t="s">
        <v>57</v>
      </c>
      <c r="B15" s="14" t="s">
        <v>135</v>
      </c>
      <c r="C15" s="14" t="s">
        <v>27</v>
      </c>
      <c r="D15" s="14" t="s">
        <v>53</v>
      </c>
      <c r="E15" s="14" t="s">
        <v>34</v>
      </c>
      <c r="F15" s="14" t="s">
        <v>35</v>
      </c>
    </row>
    <row r="16" spans="1:6" ht="42" customHeight="1">
      <c r="A16" s="14" t="s">
        <v>58</v>
      </c>
      <c r="B16" s="14" t="s">
        <v>136</v>
      </c>
      <c r="C16" s="14" t="s">
        <v>27</v>
      </c>
      <c r="D16" s="14" t="s">
        <v>53</v>
      </c>
      <c r="E16" s="14" t="s">
        <v>40</v>
      </c>
      <c r="F16" s="14" t="s">
        <v>41</v>
      </c>
    </row>
    <row r="17" spans="1:6" ht="42" customHeight="1">
      <c r="A17" s="14" t="s">
        <v>137</v>
      </c>
      <c r="B17" s="14" t="s">
        <v>99</v>
      </c>
      <c r="C17" s="14" t="s">
        <v>44</v>
      </c>
      <c r="D17" s="14" t="s">
        <v>53</v>
      </c>
      <c r="E17" s="14" t="s">
        <v>34</v>
      </c>
      <c r="F17" s="14" t="s">
        <v>35</v>
      </c>
    </row>
    <row r="18" spans="1:6" ht="42" customHeight="1">
      <c r="A18" s="14" t="s">
        <v>59</v>
      </c>
      <c r="B18" s="14" t="s">
        <v>60</v>
      </c>
      <c r="C18" s="14" t="s">
        <v>44</v>
      </c>
      <c r="D18" s="14" t="s">
        <v>53</v>
      </c>
      <c r="E18" s="14" t="s">
        <v>40</v>
      </c>
      <c r="F18" s="14" t="s">
        <v>41</v>
      </c>
    </row>
    <row r="19" spans="1:6" ht="42" customHeight="1">
      <c r="A19" s="14" t="s">
        <v>100</v>
      </c>
      <c r="B19" s="14" t="s">
        <v>101</v>
      </c>
      <c r="C19" s="14" t="s">
        <v>44</v>
      </c>
      <c r="D19" s="14" t="s">
        <v>53</v>
      </c>
      <c r="E19" s="14" t="s">
        <v>40</v>
      </c>
      <c r="F19" s="14" t="s">
        <v>41</v>
      </c>
    </row>
    <row r="20" spans="1:6" ht="42" customHeight="1">
      <c r="A20" s="14" t="s">
        <v>102</v>
      </c>
      <c r="B20" s="14" t="s">
        <v>185</v>
      </c>
      <c r="C20" s="14" t="s">
        <v>44</v>
      </c>
      <c r="D20" s="14" t="s">
        <v>53</v>
      </c>
      <c r="E20" s="14" t="s">
        <v>49</v>
      </c>
      <c r="F20" s="14" t="s">
        <v>50</v>
      </c>
    </row>
    <row r="21" spans="1:6" ht="42" customHeight="1">
      <c r="A21" s="14" t="s">
        <v>61</v>
      </c>
      <c r="B21" s="14" t="s">
        <v>138</v>
      </c>
      <c r="C21" s="14" t="s">
        <v>44</v>
      </c>
      <c r="D21" s="14" t="s">
        <v>53</v>
      </c>
      <c r="E21" s="14" t="s">
        <v>49</v>
      </c>
      <c r="F21" s="14" t="s">
        <v>50</v>
      </c>
    </row>
    <row r="22" spans="1:6" ht="42" customHeight="1">
      <c r="A22" s="14" t="s">
        <v>62</v>
      </c>
      <c r="B22" s="14" t="s">
        <v>103</v>
      </c>
      <c r="C22" s="14" t="s">
        <v>27</v>
      </c>
      <c r="D22" s="14" t="s">
        <v>63</v>
      </c>
      <c r="E22" s="14" t="s">
        <v>29</v>
      </c>
      <c r="F22" s="14" t="s">
        <v>30</v>
      </c>
    </row>
    <row r="23" spans="1:6" ht="42" customHeight="1">
      <c r="A23" s="14" t="s">
        <v>64</v>
      </c>
      <c r="B23" s="14" t="s">
        <v>139</v>
      </c>
      <c r="C23" s="14" t="s">
        <v>27</v>
      </c>
      <c r="D23" s="14" t="s">
        <v>63</v>
      </c>
      <c r="E23" s="14" t="s">
        <v>29</v>
      </c>
      <c r="F23" s="14" t="s">
        <v>30</v>
      </c>
    </row>
    <row r="24" spans="1:6" ht="42" customHeight="1">
      <c r="A24" s="14" t="s">
        <v>65</v>
      </c>
      <c r="B24" s="14" t="s">
        <v>140</v>
      </c>
      <c r="C24" s="14" t="s">
        <v>27</v>
      </c>
      <c r="D24" s="14" t="s">
        <v>63</v>
      </c>
      <c r="E24" s="14" t="s">
        <v>34</v>
      </c>
      <c r="F24" s="14" t="s">
        <v>35</v>
      </c>
    </row>
    <row r="25" spans="1:6" ht="42" customHeight="1">
      <c r="A25" s="14" t="s">
        <v>66</v>
      </c>
      <c r="B25" s="14" t="s">
        <v>105</v>
      </c>
      <c r="C25" s="14" t="s">
        <v>27</v>
      </c>
      <c r="D25" s="14" t="s">
        <v>63</v>
      </c>
      <c r="E25" s="14" t="s">
        <v>34</v>
      </c>
      <c r="F25" s="14" t="s">
        <v>35</v>
      </c>
    </row>
    <row r="26" spans="1:6" ht="42" customHeight="1">
      <c r="A26" s="14" t="s">
        <v>141</v>
      </c>
      <c r="B26" s="14" t="s">
        <v>142</v>
      </c>
      <c r="C26" s="14" t="s">
        <v>27</v>
      </c>
      <c r="D26" s="14" t="s">
        <v>63</v>
      </c>
      <c r="E26" s="14" t="s">
        <v>40</v>
      </c>
      <c r="F26" s="14" t="s">
        <v>41</v>
      </c>
    </row>
    <row r="27" spans="1:6" ht="42" customHeight="1">
      <c r="A27" s="14" t="s">
        <v>143</v>
      </c>
      <c r="B27" s="14" t="s">
        <v>144</v>
      </c>
      <c r="C27" s="14" t="s">
        <v>44</v>
      </c>
      <c r="D27" s="14" t="s">
        <v>63</v>
      </c>
      <c r="E27" s="14" t="s">
        <v>34</v>
      </c>
      <c r="F27" s="14" t="s">
        <v>35</v>
      </c>
    </row>
    <row r="28" spans="1:6" ht="42" customHeight="1">
      <c r="A28" s="14" t="s">
        <v>186</v>
      </c>
      <c r="B28" s="14" t="s">
        <v>145</v>
      </c>
      <c r="C28" s="14" t="s">
        <v>44</v>
      </c>
      <c r="D28" s="14" t="s">
        <v>63</v>
      </c>
      <c r="E28" s="14" t="s">
        <v>40</v>
      </c>
      <c r="F28" s="14" t="s">
        <v>41</v>
      </c>
    </row>
    <row r="29" spans="1:6" ht="42" customHeight="1">
      <c r="A29" s="14" t="s">
        <v>146</v>
      </c>
      <c r="B29" s="14" t="s">
        <v>147</v>
      </c>
      <c r="C29" s="14" t="s">
        <v>44</v>
      </c>
      <c r="D29" s="14" t="s">
        <v>63</v>
      </c>
      <c r="E29" s="14" t="s">
        <v>40</v>
      </c>
      <c r="F29" s="14" t="s">
        <v>41</v>
      </c>
    </row>
    <row r="30" spans="1:6" ht="42" customHeight="1">
      <c r="A30" s="14" t="s">
        <v>67</v>
      </c>
      <c r="B30" s="14" t="s">
        <v>148</v>
      </c>
      <c r="C30" s="14" t="s">
        <v>44</v>
      </c>
      <c r="D30" s="14" t="s">
        <v>63</v>
      </c>
      <c r="E30" s="14" t="s">
        <v>49</v>
      </c>
      <c r="F30" s="14" t="s">
        <v>50</v>
      </c>
    </row>
    <row r="31" spans="1:6" ht="42" customHeight="1">
      <c r="A31" s="14" t="s">
        <v>149</v>
      </c>
      <c r="B31" s="14" t="s">
        <v>150</v>
      </c>
      <c r="C31" s="14" t="s">
        <v>44</v>
      </c>
      <c r="D31" s="14" t="s">
        <v>63</v>
      </c>
      <c r="E31" s="14" t="s">
        <v>49</v>
      </c>
      <c r="F31" s="14" t="s">
        <v>50</v>
      </c>
    </row>
    <row r="32" spans="1:6" ht="42" customHeight="1">
      <c r="A32" s="14" t="s">
        <v>151</v>
      </c>
      <c r="B32" s="14" t="s">
        <v>152</v>
      </c>
      <c r="C32" s="14" t="s">
        <v>27</v>
      </c>
      <c r="D32" s="14" t="s">
        <v>68</v>
      </c>
      <c r="E32" s="14" t="s">
        <v>29</v>
      </c>
      <c r="F32" s="14" t="s">
        <v>30</v>
      </c>
    </row>
    <row r="33" spans="1:6" ht="42" customHeight="1">
      <c r="A33" s="14" t="s">
        <v>153</v>
      </c>
      <c r="B33" s="14" t="s">
        <v>154</v>
      </c>
      <c r="C33" s="14" t="s">
        <v>27</v>
      </c>
      <c r="D33" s="14" t="s">
        <v>68</v>
      </c>
      <c r="E33" s="14" t="s">
        <v>29</v>
      </c>
      <c r="F33" s="14" t="s">
        <v>30</v>
      </c>
    </row>
    <row r="34" spans="1:6" ht="42" customHeight="1">
      <c r="A34" s="14" t="s">
        <v>106</v>
      </c>
      <c r="B34" s="14" t="s">
        <v>155</v>
      </c>
      <c r="C34" s="14" t="s">
        <v>27</v>
      </c>
      <c r="D34" s="14" t="s">
        <v>68</v>
      </c>
      <c r="E34" s="14" t="s">
        <v>34</v>
      </c>
      <c r="F34" s="14" t="s">
        <v>35</v>
      </c>
    </row>
    <row r="35" spans="1:6" ht="42" customHeight="1">
      <c r="A35" s="14" t="s">
        <v>69</v>
      </c>
      <c r="B35" s="14" t="s">
        <v>156</v>
      </c>
      <c r="C35" s="14" t="s">
        <v>27</v>
      </c>
      <c r="D35" s="14" t="s">
        <v>68</v>
      </c>
      <c r="E35" s="14" t="s">
        <v>34</v>
      </c>
      <c r="F35" s="14" t="s">
        <v>35</v>
      </c>
    </row>
    <row r="36" spans="1:6" ht="42" customHeight="1">
      <c r="A36" s="14" t="s">
        <v>107</v>
      </c>
      <c r="B36" s="14" t="s">
        <v>108</v>
      </c>
      <c r="C36" s="14" t="s">
        <v>27</v>
      </c>
      <c r="D36" s="14" t="s">
        <v>68</v>
      </c>
      <c r="E36" s="14" t="s">
        <v>40</v>
      </c>
      <c r="F36" s="14" t="s">
        <v>41</v>
      </c>
    </row>
    <row r="37" spans="1:6" ht="42" customHeight="1">
      <c r="A37" s="14" t="s">
        <v>70</v>
      </c>
      <c r="B37" s="14" t="s">
        <v>157</v>
      </c>
      <c r="C37" s="14" t="s">
        <v>44</v>
      </c>
      <c r="D37" s="14" t="s">
        <v>68</v>
      </c>
      <c r="E37" s="14" t="s">
        <v>34</v>
      </c>
      <c r="F37" s="14" t="s">
        <v>35</v>
      </c>
    </row>
    <row r="38" spans="1:6" ht="42" customHeight="1">
      <c r="A38" s="14" t="s">
        <v>71</v>
      </c>
      <c r="B38" s="14" t="s">
        <v>158</v>
      </c>
      <c r="C38" s="14" t="s">
        <v>44</v>
      </c>
      <c r="D38" s="14" t="s">
        <v>68</v>
      </c>
      <c r="E38" s="14" t="s">
        <v>40</v>
      </c>
      <c r="F38" s="14" t="s">
        <v>41</v>
      </c>
    </row>
    <row r="39" spans="1:6" ht="42" customHeight="1">
      <c r="A39" s="14" t="s">
        <v>72</v>
      </c>
      <c r="B39" s="14" t="s">
        <v>159</v>
      </c>
      <c r="C39" s="14" t="s">
        <v>44</v>
      </c>
      <c r="D39" s="14" t="s">
        <v>68</v>
      </c>
      <c r="E39" s="14" t="s">
        <v>40</v>
      </c>
      <c r="F39" s="14" t="s">
        <v>41</v>
      </c>
    </row>
    <row r="40" spans="1:6" ht="42" customHeight="1">
      <c r="A40" s="14" t="s">
        <v>187</v>
      </c>
      <c r="B40" s="14" t="s">
        <v>109</v>
      </c>
      <c r="C40" s="14" t="s">
        <v>44</v>
      </c>
      <c r="D40" s="14" t="s">
        <v>68</v>
      </c>
      <c r="E40" s="14" t="s">
        <v>49</v>
      </c>
      <c r="F40" s="14" t="s">
        <v>50</v>
      </c>
    </row>
    <row r="41" spans="1:6" ht="42" customHeight="1">
      <c r="A41" s="14" t="s">
        <v>73</v>
      </c>
      <c r="B41" s="14" t="s">
        <v>160</v>
      </c>
      <c r="C41" s="14" t="s">
        <v>44</v>
      </c>
      <c r="D41" s="14" t="s">
        <v>68</v>
      </c>
      <c r="E41" s="14" t="s">
        <v>49</v>
      </c>
      <c r="F41" s="14" t="s">
        <v>50</v>
      </c>
    </row>
    <row r="42" spans="1:6" ht="42" customHeight="1">
      <c r="A42" s="14" t="s">
        <v>74</v>
      </c>
      <c r="B42" s="14" t="s">
        <v>161</v>
      </c>
      <c r="C42" s="14" t="s">
        <v>27</v>
      </c>
      <c r="D42" s="14" t="s">
        <v>75</v>
      </c>
      <c r="E42" s="14" t="s">
        <v>29</v>
      </c>
      <c r="F42" s="14" t="s">
        <v>30</v>
      </c>
    </row>
    <row r="43" spans="1:6" ht="42" customHeight="1">
      <c r="A43" s="14" t="s">
        <v>110</v>
      </c>
      <c r="B43" s="14" t="s">
        <v>111</v>
      </c>
      <c r="C43" s="14" t="s">
        <v>27</v>
      </c>
      <c r="D43" s="14" t="s">
        <v>75</v>
      </c>
      <c r="E43" s="14" t="s">
        <v>29</v>
      </c>
      <c r="F43" s="14" t="s">
        <v>30</v>
      </c>
    </row>
    <row r="44" spans="1:6" ht="42" customHeight="1">
      <c r="A44" s="14" t="s">
        <v>76</v>
      </c>
      <c r="B44" s="14" t="s">
        <v>162</v>
      </c>
      <c r="C44" s="14" t="s">
        <v>27</v>
      </c>
      <c r="D44" s="14" t="s">
        <v>75</v>
      </c>
      <c r="E44" s="14" t="s">
        <v>34</v>
      </c>
      <c r="F44" s="14" t="s">
        <v>35</v>
      </c>
    </row>
    <row r="45" spans="1:6" ht="42" customHeight="1">
      <c r="A45" s="14" t="s">
        <v>112</v>
      </c>
      <c r="B45" s="14" t="s">
        <v>163</v>
      </c>
      <c r="C45" s="14" t="s">
        <v>27</v>
      </c>
      <c r="D45" s="14" t="s">
        <v>75</v>
      </c>
      <c r="E45" s="14" t="s">
        <v>34</v>
      </c>
      <c r="F45" s="14" t="s">
        <v>35</v>
      </c>
    </row>
    <row r="46" spans="1:6" ht="42" customHeight="1">
      <c r="A46" s="14" t="s">
        <v>164</v>
      </c>
      <c r="B46" s="14" t="s">
        <v>165</v>
      </c>
      <c r="C46" s="14" t="s">
        <v>27</v>
      </c>
      <c r="D46" s="14" t="s">
        <v>75</v>
      </c>
      <c r="E46" s="14" t="s">
        <v>40</v>
      </c>
      <c r="F46" s="14" t="s">
        <v>41</v>
      </c>
    </row>
    <row r="47" spans="1:6" ht="42" customHeight="1">
      <c r="A47" s="14" t="s">
        <v>77</v>
      </c>
      <c r="B47" s="14" t="s">
        <v>121</v>
      </c>
      <c r="C47" s="14" t="s">
        <v>44</v>
      </c>
      <c r="D47" s="14" t="s">
        <v>75</v>
      </c>
      <c r="E47" s="14" t="s">
        <v>34</v>
      </c>
      <c r="F47" s="14" t="s">
        <v>35</v>
      </c>
    </row>
    <row r="48" spans="1:6" ht="42" customHeight="1">
      <c r="A48" s="14" t="s">
        <v>166</v>
      </c>
      <c r="B48" s="14" t="s">
        <v>167</v>
      </c>
      <c r="C48" s="14" t="s">
        <v>44</v>
      </c>
      <c r="D48" s="14" t="s">
        <v>75</v>
      </c>
      <c r="E48" s="14" t="s">
        <v>40</v>
      </c>
      <c r="F48" s="14" t="s">
        <v>41</v>
      </c>
    </row>
    <row r="49" spans="1:6" ht="42" customHeight="1">
      <c r="A49" s="14" t="s">
        <v>168</v>
      </c>
      <c r="B49" s="14" t="s">
        <v>169</v>
      </c>
      <c r="C49" s="14" t="s">
        <v>44</v>
      </c>
      <c r="D49" s="14" t="s">
        <v>75</v>
      </c>
      <c r="E49" s="14" t="s">
        <v>40</v>
      </c>
      <c r="F49" s="14" t="s">
        <v>41</v>
      </c>
    </row>
    <row r="50" spans="1:6" ht="42" customHeight="1">
      <c r="A50" s="14" t="s">
        <v>78</v>
      </c>
      <c r="B50" s="14" t="s">
        <v>170</v>
      </c>
      <c r="C50" s="14" t="s">
        <v>44</v>
      </c>
      <c r="D50" s="14" t="s">
        <v>75</v>
      </c>
      <c r="E50" s="14" t="s">
        <v>49</v>
      </c>
      <c r="F50" s="14" t="s">
        <v>50</v>
      </c>
    </row>
    <row r="51" spans="1:6" ht="42" customHeight="1">
      <c r="A51" s="14" t="s">
        <v>79</v>
      </c>
      <c r="B51" s="14" t="s">
        <v>171</v>
      </c>
      <c r="C51" s="14" t="s">
        <v>44</v>
      </c>
      <c r="D51" s="14" t="s">
        <v>75</v>
      </c>
      <c r="E51" s="14" t="s">
        <v>49</v>
      </c>
      <c r="F51" s="14" t="s">
        <v>50</v>
      </c>
    </row>
    <row r="52" spans="1:6" ht="42" customHeight="1">
      <c r="A52" s="14" t="s">
        <v>80</v>
      </c>
      <c r="B52" s="14" t="s">
        <v>172</v>
      </c>
      <c r="C52" s="14" t="s">
        <v>27</v>
      </c>
      <c r="D52" s="14" t="s">
        <v>81</v>
      </c>
      <c r="E52" s="14" t="s">
        <v>29</v>
      </c>
      <c r="F52" s="14" t="s">
        <v>30</v>
      </c>
    </row>
    <row r="53" spans="1:6" ht="42" customHeight="1">
      <c r="A53" s="14" t="s">
        <v>173</v>
      </c>
      <c r="B53" s="14" t="s">
        <v>174</v>
      </c>
      <c r="C53" s="14" t="s">
        <v>27</v>
      </c>
      <c r="D53" s="14" t="s">
        <v>81</v>
      </c>
      <c r="E53" s="14" t="s">
        <v>29</v>
      </c>
      <c r="F53" s="14" t="s">
        <v>30</v>
      </c>
    </row>
    <row r="54" spans="1:6" ht="42" customHeight="1">
      <c r="A54" s="14" t="s">
        <v>175</v>
      </c>
      <c r="B54" s="14" t="s">
        <v>176</v>
      </c>
      <c r="C54" s="14" t="s">
        <v>27</v>
      </c>
      <c r="D54" s="14" t="s">
        <v>81</v>
      </c>
      <c r="E54" s="14" t="s">
        <v>34</v>
      </c>
      <c r="F54" s="14" t="s">
        <v>35</v>
      </c>
    </row>
    <row r="55" spans="1:6" ht="42" customHeight="1">
      <c r="A55" s="14" t="s">
        <v>113</v>
      </c>
      <c r="B55" s="14" t="s">
        <v>114</v>
      </c>
      <c r="C55" s="14" t="s">
        <v>27</v>
      </c>
      <c r="D55" s="14" t="s">
        <v>81</v>
      </c>
      <c r="E55" s="14" t="s">
        <v>34</v>
      </c>
      <c r="F55" s="14" t="s">
        <v>35</v>
      </c>
    </row>
    <row r="56" spans="1:6" ht="42" customHeight="1">
      <c r="A56" s="14" t="s">
        <v>82</v>
      </c>
      <c r="B56" s="14" t="s">
        <v>115</v>
      </c>
      <c r="C56" s="14" t="s">
        <v>27</v>
      </c>
      <c r="D56" s="14" t="s">
        <v>81</v>
      </c>
      <c r="E56" s="14" t="s">
        <v>40</v>
      </c>
      <c r="F56" s="14" t="s">
        <v>41</v>
      </c>
    </row>
    <row r="57" spans="1:6" ht="42" customHeight="1">
      <c r="A57" s="14" t="s">
        <v>188</v>
      </c>
      <c r="B57" s="14" t="s">
        <v>177</v>
      </c>
      <c r="C57" s="14" t="s">
        <v>44</v>
      </c>
      <c r="D57" s="14" t="s">
        <v>81</v>
      </c>
      <c r="E57" s="14" t="s">
        <v>34</v>
      </c>
      <c r="F57" s="14" t="s">
        <v>35</v>
      </c>
    </row>
    <row r="58" spans="1:6" ht="42" customHeight="1">
      <c r="A58" s="14" t="s">
        <v>83</v>
      </c>
      <c r="B58" s="14" t="s">
        <v>189</v>
      </c>
      <c r="C58" s="14" t="s">
        <v>44</v>
      </c>
      <c r="D58" s="14" t="s">
        <v>81</v>
      </c>
      <c r="E58" s="14" t="s">
        <v>40</v>
      </c>
      <c r="F58" s="14" t="s">
        <v>41</v>
      </c>
    </row>
    <row r="59" spans="1:6" ht="42" customHeight="1">
      <c r="A59" s="14" t="s">
        <v>178</v>
      </c>
      <c r="B59" s="14" t="s">
        <v>84</v>
      </c>
      <c r="C59" s="14" t="s">
        <v>44</v>
      </c>
      <c r="D59" s="14" t="s">
        <v>81</v>
      </c>
      <c r="E59" s="14" t="s">
        <v>40</v>
      </c>
      <c r="F59" s="14" t="s">
        <v>41</v>
      </c>
    </row>
    <row r="60" spans="1:6" ht="42" customHeight="1">
      <c r="A60" s="14" t="s">
        <v>116</v>
      </c>
      <c r="B60" s="14" t="s">
        <v>122</v>
      </c>
      <c r="C60" s="14" t="s">
        <v>44</v>
      </c>
      <c r="D60" s="14" t="s">
        <v>81</v>
      </c>
      <c r="E60" s="14" t="s">
        <v>49</v>
      </c>
      <c r="F60" s="14" t="s">
        <v>50</v>
      </c>
    </row>
    <row r="61" spans="1:6" ht="42" customHeight="1">
      <c r="A61" s="14" t="s">
        <v>85</v>
      </c>
      <c r="B61" s="14" t="s">
        <v>117</v>
      </c>
      <c r="C61" s="14" t="s">
        <v>44</v>
      </c>
      <c r="D61" s="14" t="s">
        <v>81</v>
      </c>
      <c r="E61" s="14" t="s">
        <v>49</v>
      </c>
      <c r="F61" s="14" t="s">
        <v>50</v>
      </c>
    </row>
    <row r="62" spans="1:6" ht="42" customHeight="1">
      <c r="A62" s="14" t="s">
        <v>86</v>
      </c>
      <c r="B62" s="14" t="s">
        <v>118</v>
      </c>
      <c r="C62" s="14" t="s">
        <v>27</v>
      </c>
      <c r="D62" s="14" t="s">
        <v>87</v>
      </c>
      <c r="E62" s="14" t="s">
        <v>29</v>
      </c>
      <c r="F62" s="14" t="s">
        <v>30</v>
      </c>
    </row>
    <row r="63" spans="1:6" ht="42" customHeight="1">
      <c r="A63" s="14" t="s">
        <v>123</v>
      </c>
      <c r="B63" s="14" t="s">
        <v>124</v>
      </c>
      <c r="C63" s="14" t="s">
        <v>27</v>
      </c>
      <c r="D63" s="14" t="s">
        <v>87</v>
      </c>
      <c r="E63" s="14" t="s">
        <v>29</v>
      </c>
      <c r="F63" s="14" t="s">
        <v>30</v>
      </c>
    </row>
    <row r="64" spans="1:6" ht="42" customHeight="1">
      <c r="A64" s="14" t="s">
        <v>88</v>
      </c>
      <c r="B64" s="14" t="s">
        <v>179</v>
      </c>
      <c r="C64" s="14" t="s">
        <v>27</v>
      </c>
      <c r="D64" s="14" t="s">
        <v>87</v>
      </c>
      <c r="E64" s="14" t="s">
        <v>34</v>
      </c>
      <c r="F64" s="14" t="s">
        <v>35</v>
      </c>
    </row>
    <row r="65" spans="1:6" ht="42" customHeight="1">
      <c r="A65" s="14" t="s">
        <v>119</v>
      </c>
      <c r="B65" s="14" t="s">
        <v>180</v>
      </c>
      <c r="C65" s="14" t="s">
        <v>27</v>
      </c>
      <c r="D65" s="14" t="s">
        <v>87</v>
      </c>
      <c r="E65" s="14" t="s">
        <v>34</v>
      </c>
      <c r="F65" s="14" t="s">
        <v>35</v>
      </c>
    </row>
    <row r="66" spans="1:6" ht="42" customHeight="1">
      <c r="A66" s="14" t="s">
        <v>125</v>
      </c>
      <c r="B66" s="14" t="s">
        <v>184</v>
      </c>
      <c r="C66" s="14" t="s">
        <v>27</v>
      </c>
      <c r="D66" s="14" t="s">
        <v>87</v>
      </c>
      <c r="E66" s="14" t="s">
        <v>40</v>
      </c>
      <c r="F66" s="14" t="s">
        <v>41</v>
      </c>
    </row>
    <row r="67" spans="1:6" ht="42" customHeight="1">
      <c r="A67" s="14" t="s">
        <v>131</v>
      </c>
      <c r="B67" s="14" t="s">
        <v>126</v>
      </c>
      <c r="C67" s="14" t="s">
        <v>44</v>
      </c>
      <c r="D67" s="14" t="s">
        <v>87</v>
      </c>
      <c r="E67" s="14" t="s">
        <v>34</v>
      </c>
      <c r="F67" s="14" t="s">
        <v>35</v>
      </c>
    </row>
    <row r="68" spans="1:6" ht="42" customHeight="1">
      <c r="A68" s="14" t="s">
        <v>130</v>
      </c>
      <c r="B68" s="14" t="s">
        <v>129</v>
      </c>
      <c r="C68" s="14" t="s">
        <v>44</v>
      </c>
      <c r="D68" s="14" t="s">
        <v>87</v>
      </c>
      <c r="E68" s="14" t="s">
        <v>40</v>
      </c>
      <c r="F68" s="14" t="s">
        <v>41</v>
      </c>
    </row>
    <row r="69" spans="1:6" ht="42" customHeight="1">
      <c r="A69" s="14" t="s">
        <v>181</v>
      </c>
      <c r="B69" s="14" t="s">
        <v>183</v>
      </c>
      <c r="C69" s="14" t="s">
        <v>44</v>
      </c>
      <c r="D69" s="14" t="s">
        <v>87</v>
      </c>
      <c r="E69" s="14" t="s">
        <v>40</v>
      </c>
      <c r="F69" s="14" t="s">
        <v>41</v>
      </c>
    </row>
    <row r="70" spans="1:6" ht="42" customHeight="1">
      <c r="A70" s="14" t="s">
        <v>128</v>
      </c>
      <c r="B70" s="14" t="s">
        <v>120</v>
      </c>
      <c r="C70" s="14" t="s">
        <v>44</v>
      </c>
      <c r="D70" s="14" t="s">
        <v>87</v>
      </c>
      <c r="E70" s="14" t="s">
        <v>49</v>
      </c>
      <c r="F70" s="14" t="s">
        <v>50</v>
      </c>
    </row>
    <row r="71" spans="1:6" ht="42" customHeight="1">
      <c r="A71" s="14" t="s">
        <v>182</v>
      </c>
      <c r="B71" s="14" t="s">
        <v>127</v>
      </c>
      <c r="C71" s="14" t="s">
        <v>44</v>
      </c>
      <c r="D71" s="14" t="s">
        <v>87</v>
      </c>
      <c r="E71" s="14" t="s">
        <v>49</v>
      </c>
      <c r="F71" s="14" t="s">
        <v>50</v>
      </c>
    </row>
  </sheetData>
  <dataValidations count="4">
    <dataValidation type="list" sqref="C2:C71" xr:uid="{00000000-0002-0000-0100-000000000000}">
      <formula1>"Problem,ChangeRequest"</formula1>
    </dataValidation>
    <dataValidation type="list" sqref="D2:D71" xr:uid="{00000000-0002-0000-0100-000001000000}">
      <formula1>"SEU\ALH\Analytics,SEU\ALH\Architektur,SEU\ALH\Kranken,SEU\ALH\Leben,SEU\ALH\Sach,SEU\ALH\Vertrieb,SEU\ALH\Zentrale Systeme"</formula1>
    </dataValidation>
    <dataValidation type="list" sqref="E2:E71" xr:uid="{00000000-0002-0000-0100-000002000000}">
      <formula1>"1,2,3,4"</formula1>
    </dataValidation>
    <dataValidation type="list" sqref="F2:F71" xr:uid="{00000000-0002-0000-0100-000003000000}">
      <formula1>"1 - Kritisch,2 - Hoch,3 - Mittel,4 - Niedrig"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baseColWidth="10" defaultColWidth="9" defaultRowHeight="14.25"/>
  <cols>
    <col min="1" max="1" width="34" customWidth="1"/>
    <col min="2" max="2" width="16" customWidth="1"/>
    <col min="3" max="3" width="4" customWidth="1"/>
    <col min="4" max="4" width="18" customWidth="1"/>
    <col min="5" max="5" width="22" customWidth="1"/>
    <col min="6" max="6" width="4" customWidth="1"/>
    <col min="7" max="7" width="2" customWidth="1"/>
  </cols>
  <sheetData>
    <row r="1" spans="1:6" ht="31.7" customHeight="1">
      <c r="A1" s="23" t="s">
        <v>190</v>
      </c>
      <c r="B1" s="23"/>
      <c r="C1" s="23"/>
      <c r="D1" s="23"/>
      <c r="E1" s="23"/>
      <c r="F1" s="23"/>
    </row>
    <row r="3" spans="1:6" ht="15" customHeight="1">
      <c r="A3" s="24" t="s">
        <v>89</v>
      </c>
      <c r="B3" s="25" t="s">
        <v>90</v>
      </c>
    </row>
    <row r="4" spans="1:6" ht="15" customHeight="1">
      <c r="A4" s="26" t="s">
        <v>91</v>
      </c>
      <c r="B4" s="3">
        <f>COUNTA(Tabelle!$A:$A)-1</f>
        <v>70</v>
      </c>
    </row>
    <row r="5" spans="1:6" ht="15" customHeight="1">
      <c r="A5" s="31" t="s">
        <v>191</v>
      </c>
      <c r="B5" s="5" t="s">
        <v>92</v>
      </c>
    </row>
    <row r="7" spans="1:6" ht="15" customHeight="1">
      <c r="A7" s="24" t="s">
        <v>6</v>
      </c>
      <c r="B7" s="25" t="s">
        <v>93</v>
      </c>
      <c r="D7" s="24" t="s">
        <v>16</v>
      </c>
      <c r="E7" s="25" t="s">
        <v>93</v>
      </c>
    </row>
    <row r="8" spans="1:6" ht="15" customHeight="1">
      <c r="A8" s="2" t="s">
        <v>27</v>
      </c>
      <c r="B8" s="3">
        <f>COUNTIF(Tabelle!$C:$C,A8)</f>
        <v>35</v>
      </c>
      <c r="D8" s="2" t="s">
        <v>29</v>
      </c>
      <c r="E8" s="3">
        <f>COUNTIF(Tabelle!$E:$E,D8)</f>
        <v>14</v>
      </c>
    </row>
    <row r="9" spans="1:6" ht="15" customHeight="1">
      <c r="A9" s="4" t="s">
        <v>44</v>
      </c>
      <c r="B9" s="5">
        <f>COUNTIF(Tabelle!$C:$C,A9)</f>
        <v>35</v>
      </c>
      <c r="D9" s="2" t="s">
        <v>34</v>
      </c>
      <c r="E9" s="3">
        <f>COUNTIF(Tabelle!$E:$E,D9)</f>
        <v>21</v>
      </c>
    </row>
    <row r="10" spans="1:6" ht="15" customHeight="1">
      <c r="D10" s="2" t="s">
        <v>40</v>
      </c>
      <c r="E10" s="3">
        <f>COUNTIF(Tabelle!$E:$E,D10)</f>
        <v>21</v>
      </c>
    </row>
    <row r="11" spans="1:6" ht="15" customHeight="1">
      <c r="A11" s="27" t="s">
        <v>11</v>
      </c>
      <c r="B11" s="28" t="s">
        <v>93</v>
      </c>
      <c r="D11" s="4" t="s">
        <v>49</v>
      </c>
      <c r="E11" s="5">
        <f>COUNTIF(Tabelle!$E:$E,D11)</f>
        <v>14</v>
      </c>
    </row>
    <row r="12" spans="1:6" ht="15" customHeight="1">
      <c r="A12" s="6" t="s">
        <v>28</v>
      </c>
      <c r="B12" s="7">
        <f>COUNTIF(Tabelle!$D:$D,A12)</f>
        <v>10</v>
      </c>
    </row>
    <row r="13" spans="1:6" ht="15" customHeight="1">
      <c r="A13" s="6" t="s">
        <v>53</v>
      </c>
      <c r="B13" s="7">
        <f>COUNTIF(Tabelle!$D:$D,A13)</f>
        <v>10</v>
      </c>
      <c r="D13" s="24" t="s">
        <v>20</v>
      </c>
      <c r="E13" s="25" t="s">
        <v>93</v>
      </c>
    </row>
    <row r="14" spans="1:6" ht="15" customHeight="1">
      <c r="A14" s="6" t="s">
        <v>63</v>
      </c>
      <c r="B14" s="7">
        <f>COUNTIF(Tabelle!$D:$D,A14)</f>
        <v>10</v>
      </c>
      <c r="D14" s="2" t="s">
        <v>30</v>
      </c>
      <c r="E14" s="3">
        <f>COUNTIF(Tabelle!$F:$F,D14)</f>
        <v>14</v>
      </c>
    </row>
    <row r="15" spans="1:6" ht="15" customHeight="1">
      <c r="A15" s="6" t="s">
        <v>68</v>
      </c>
      <c r="B15" s="7">
        <f>COUNTIF(Tabelle!$D:$D,A15)</f>
        <v>10</v>
      </c>
      <c r="D15" s="2" t="s">
        <v>35</v>
      </c>
      <c r="E15" s="3">
        <f>COUNTIF(Tabelle!$F:$F,D15)</f>
        <v>21</v>
      </c>
    </row>
    <row r="16" spans="1:6" ht="15" customHeight="1">
      <c r="A16" s="6" t="s">
        <v>75</v>
      </c>
      <c r="B16" s="7">
        <f>COUNTIF(Tabelle!$D:$D,A16)</f>
        <v>10</v>
      </c>
      <c r="D16" s="2" t="s">
        <v>41</v>
      </c>
      <c r="E16" s="3">
        <f>COUNTIF(Tabelle!$F:$F,D16)</f>
        <v>21</v>
      </c>
    </row>
    <row r="17" spans="1:5" ht="15" customHeight="1">
      <c r="A17" s="6" t="s">
        <v>81</v>
      </c>
      <c r="B17" s="7">
        <f>COUNTIF(Tabelle!$D:$D,A17)</f>
        <v>10</v>
      </c>
      <c r="D17" s="4" t="s">
        <v>50</v>
      </c>
      <c r="E17" s="5">
        <f>COUNTIF(Tabelle!$F:$F,D17)</f>
        <v>14</v>
      </c>
    </row>
    <row r="18" spans="1:5" ht="15" customHeight="1">
      <c r="A18" s="8" t="s">
        <v>87</v>
      </c>
      <c r="B18" s="9">
        <f>COUNTIF(Tabelle!$D:$D,A18)</f>
        <v>10</v>
      </c>
    </row>
    <row r="19" spans="1:5" ht="15" customHeight="1">
      <c r="D19" s="29"/>
      <c r="E19" s="30"/>
    </row>
    <row r="20" spans="1:5" ht="15.75" customHeight="1">
      <c r="D20" s="6"/>
      <c r="E20" s="7"/>
    </row>
    <row r="21" spans="1:5" ht="15.75" customHeight="1">
      <c r="D21" s="6"/>
      <c r="E21" s="7"/>
    </row>
    <row r="22" spans="1:5" ht="15.75" customHeight="1">
      <c r="D22" s="8"/>
      <c r="E22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Tabelle</vt:lpstr>
      <vt:lpstr>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Beine,Alexander PE-ea</cp:lastModifiedBy>
  <dcterms:modified xsi:type="dcterms:W3CDTF">2026-04-29T08:23:15Z</dcterms:modified>
</cp:coreProperties>
</file>